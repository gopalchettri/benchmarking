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Checklist" sheetId="1" state="visible" r:id="rId3"/>
    <sheet name="Summary" sheetId="2" state="visible" r:id="rId4"/>
    <sheet name="Instructions" sheetId="3" state="visible" r:id="rId5"/>
  </sheets>
  <definedNames>
    <definedName function="false" hidden="true" localSheetId="0" name="_xlnm._FilterDatabase" vbProcedure="false">'UAT Checklist'!$A$1:$M$1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<sst xmlns="http://schemas.openxmlformats.org/spreadsheetml/2006/main" count="360" uniqueCount="258">
  <si>
    <t xml:space="preserve">TC-ID</t>
  </si>
  <si>
    <t xml:space="preserve">Category</t>
  </si>
  <si>
    <t xml:space="preserve">Test Case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</si>
  <si>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</si>
  <si>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</si>
  <si>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</si>
  <si>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</si>
  <si>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</si>
  <si>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Assigned To</t>
  </si>
  <si>
    <t xml:space="preserve">Environment</t>
  </si>
  <si>
    <t xml:space="preserve">Date Tested</t>
  </si>
  <si>
    <t xml:space="preserve">Defect ID</t>
  </si>
  <si>
    <t xml:space="preserve">Notes</t>
  </si>
  <si>
    <t xml:space="preserve">TC-001</t>
  </si>
  <si>
    <t xml:space="preserve">Authentication &amp; Access</t>
  </si>
  <si>
    <t xml:space="preserve">Login with valid credentials</t>
  </si>
  <si>
    <t xml:space="preserve">1. Navigate to login page
2. Enter valid username/password
3. Click Login</t>
  </si>
  <si>
    <t xml:space="preserve">User is authenticated and redirected to dashboard</t>
  </si>
  <si>
    <t xml:space="preserve">Critical</t>
  </si>
  <si>
    <t xml:space="preserve">TC-002</t>
  </si>
  <si>
    <t xml:space="preserve">Login with invalid credentials</t>
  </si>
  <si>
    <t xml:space="preserve">1. Navigate to login page
2. Enter invalid credentials
3. Click Login</t>
  </si>
  <si>
    <t xml:space="preserve">Error message displayed; no access granted</t>
  </si>
  <si>
    <t xml:space="preserve">TC-003</t>
  </si>
  <si>
    <t xml:space="preserve">Session timeout handling</t>
  </si>
  <si>
    <t xml:space="preserve">1. Login successfully
2. Remain idle beyond timeout threshold
3. Attempt an action</t>
  </si>
  <si>
    <t xml:space="preserve">Session expires; user redirected to login with appropriate message</t>
  </si>
  <si>
    <t xml:space="preserve">High</t>
  </si>
  <si>
    <t xml:space="preserve">TC-004</t>
  </si>
  <si>
    <t xml:space="preserve">Role-based access control</t>
  </si>
  <si>
    <t xml:space="preserve">1. Login as each role (admin, user, viewer)
2. Attempt restricted actions per role</t>
  </si>
  <si>
    <t xml:space="preserve">Actions blocked/allowed per role permissions matrix</t>
  </si>
  <si>
    <t xml:space="preserve">TC-005</t>
  </si>
  <si>
    <t xml:space="preserve">Password reset flow</t>
  </si>
  <si>
    <t xml:space="preserve">1. Click Forgot Password
2. Enter registered email
3. Follow reset link
4. Set new password</t>
  </si>
  <si>
    <t xml:space="preserve">Password updated successfully; old password no longer works</t>
  </si>
  <si>
    <t xml:space="preserve">TC-006</t>
  </si>
  <si>
    <t xml:space="preserve">MFA enforcement</t>
  </si>
  <si>
    <t xml:space="preserve">1. Enable MFA on account
2. Logout and login again
3. Complete MFA challenge</t>
  </si>
  <si>
    <t xml:space="preserve">Access granted only after MFA verification</t>
  </si>
  <si>
    <t xml:space="preserve">TC-007</t>
  </si>
  <si>
    <t xml:space="preserve">Core Functionality</t>
  </si>
  <si>
    <t xml:space="preserve">Create new record</t>
  </si>
  <si>
    <t xml:space="preserve">1. Navigate to creation form
2. Fill all required fields with valid data
3. Submit</t>
  </si>
  <si>
    <t xml:space="preserve">Record created successfully; confirmation displayed; record visible in list</t>
  </si>
  <si>
    <t xml:space="preserve">TC-008</t>
  </si>
  <si>
    <t xml:space="preserve">Edit existing record</t>
  </si>
  <si>
    <t xml:space="preserve">1. Select an existing record
2. Modify one or more fields
3. Save changes</t>
  </si>
  <si>
    <t xml:space="preserve">Changes persisted; updated values reflected in UI and database</t>
  </si>
  <si>
    <t xml:space="preserve">TC-009</t>
  </si>
  <si>
    <t xml:space="preserve">Delete record</t>
  </si>
  <si>
    <t xml:space="preserve">1. Select a record
2. Click Delete
3. Confirm deletion</t>
  </si>
  <si>
    <t xml:space="preserve">Record removed; no longer appears in list; dependent data handled</t>
  </si>
  <si>
    <t xml:space="preserve">TC-010</t>
  </si>
  <si>
    <t xml:space="preserve">Search / filter records</t>
  </si>
  <si>
    <t xml:space="preserve">1. Enter search term or apply filters
2. Review results</t>
  </si>
  <si>
    <t xml:space="preserve">Only matching records displayed; results accurate and performant</t>
  </si>
  <si>
    <t xml:space="preserve">TC-011</t>
  </si>
  <si>
    <t xml:space="preserve">Bulk operations</t>
  </si>
  <si>
    <t xml:space="preserve">1. Select multiple records
2. Apply bulk action (export, delete, update)
3. Confirm</t>
  </si>
  <si>
    <t xml:space="preserve">Action applied to all selected records; partial failures reported</t>
  </si>
  <si>
    <t xml:space="preserve">Medium</t>
  </si>
  <si>
    <t xml:space="preserve">TC-012</t>
  </si>
  <si>
    <t xml:space="preserve">Sorting and pagination</t>
  </si>
  <si>
    <t xml:space="preserve">1. Click column headers to sort
2. Navigate between pages</t>
  </si>
  <si>
    <t xml:space="preserve">Sorting is accurate; pagination preserves sort order and filters</t>
  </si>
  <si>
    <t xml:space="preserve">TC-013</t>
  </si>
  <si>
    <t xml:space="preserve">Input Validation</t>
  </si>
  <si>
    <t xml:space="preserve">Required field enforcement</t>
  </si>
  <si>
    <t xml:space="preserve">1. Leave required fields blank
2. Submit form</t>
  </si>
  <si>
    <t xml:space="preserve">Submission blocked; inline validation errors on each required field</t>
  </si>
  <si>
    <t xml:space="preserve">TC-014</t>
  </si>
  <si>
    <t xml:space="preserve">Max length / boundary values</t>
  </si>
  <si>
    <t xml:space="preserve">1. Enter values at min, max, and beyond boundary
2. Submit</t>
  </si>
  <si>
    <t xml:space="preserve">Values within bounds accepted; out-of-bounds rejected with clear message</t>
  </si>
  <si>
    <t xml:space="preserve">TC-015</t>
  </si>
  <si>
    <t xml:space="preserve">Special characters / injection</t>
  </si>
  <si>
    <t xml:space="preserve">1. Enter SQL injection strings, XSS payloads, special chars in inputs
2. Submit</t>
  </si>
  <si>
    <t xml:space="preserve">Input sanitized; no injection executed; appropriate error shown</t>
  </si>
  <si>
    <t xml:space="preserve">TC-016</t>
  </si>
  <si>
    <t xml:space="preserve">Date / numeric format validation</t>
  </si>
  <si>
    <t xml:space="preserve">1. Enter invalid date formats or non-numeric values in numeric fields
2. Submit</t>
  </si>
  <si>
    <t xml:space="preserve">Invalid formats rejected; guidance on expected format provided</t>
  </si>
  <si>
    <t xml:space="preserve">TC-017</t>
  </si>
  <si>
    <t xml:space="preserve">File upload validation</t>
  </si>
  <si>
    <t xml:space="preserve">1. Upload files of unsupported type/size
2. Upload valid file</t>
  </si>
  <si>
    <t xml:space="preserve">Invalid files rejected with clear message; valid files processed correctly</t>
  </si>
  <si>
    <t xml:space="preserve">TC-018</t>
  </si>
  <si>
    <t xml:space="preserve">Data Integrity</t>
  </si>
  <si>
    <t xml:space="preserve">Data persistence after save</t>
  </si>
  <si>
    <t xml:space="preserve">1. Create/edit a record
2. Log out and back in
3. Navigate to the record</t>
  </si>
  <si>
    <t xml:space="preserve">Data matches what was saved; no loss or corruption</t>
  </si>
  <si>
    <t xml:space="preserve">TC-019</t>
  </si>
  <si>
    <t xml:space="preserve">Concurrent edit handling</t>
  </si>
  <si>
    <t xml:space="preserve">1. Open same record in two sessions
2. Edit and save in both</t>
  </si>
  <si>
    <t xml:space="preserve">Conflict detected; appropriate resolution (last-write-wins, merge, or lock)</t>
  </si>
  <si>
    <t xml:space="preserve">TC-020</t>
  </si>
  <si>
    <t xml:space="preserve">Referential integrity</t>
  </si>
  <si>
    <t xml:space="preserve">1. Delete a parent record with child dependencies
2. Verify child records</t>
  </si>
  <si>
    <t xml:space="preserve">Cascade/restrict behavior matches business rules; no orphan records</t>
  </si>
  <si>
    <t xml:space="preserve">TC-021</t>
  </si>
  <si>
    <t xml:space="preserve">Audit trail / change log</t>
  </si>
  <si>
    <t xml:space="preserve">1. Perform create, update, delete
2. Check audit log</t>
  </si>
  <si>
    <t xml:space="preserve">All actions logged with timestamp, user, before/after values</t>
  </si>
  <si>
    <t xml:space="preserve">TC-022</t>
  </si>
  <si>
    <t xml:space="preserve">Backup and restore</t>
  </si>
  <si>
    <t xml:space="preserve">1. Take backup
2. Modify/delete data
3. Restore from backup</t>
  </si>
  <si>
    <t xml:space="preserve">Data restored accurately to backup point; no corruption</t>
  </si>
  <si>
    <t xml:space="preserve">TC-023</t>
  </si>
  <si>
    <t xml:space="preserve">Integration &amp; API</t>
  </si>
  <si>
    <t xml:space="preserve">Third-party API connectivity</t>
  </si>
  <si>
    <t xml:space="preserve">1. Trigger integration call
2. Verify response data</t>
  </si>
  <si>
    <t xml:space="preserve">External API called; response data correctly mapped and displayed</t>
  </si>
  <si>
    <t xml:space="preserve">TC-024</t>
  </si>
  <si>
    <t xml:space="preserve">API error handling</t>
  </si>
  <si>
    <t xml:space="preserve">1. Simulate API timeout/failure
2. Observe application behavior</t>
  </si>
  <si>
    <t xml:space="preserve">Graceful degradation; error message shown; no data loss; retry where applicable</t>
  </si>
  <si>
    <t xml:space="preserve">TC-025</t>
  </si>
  <si>
    <t xml:space="preserve">Webhook / callback processing</t>
  </si>
  <si>
    <t xml:space="preserve">1. Trigger event that fires webhook
2. Verify target system received payload</t>
  </si>
  <si>
    <t xml:space="preserve">Payload delivered with correct schema; idempotent on retry</t>
  </si>
  <si>
    <t xml:space="preserve">TC-026</t>
  </si>
  <si>
    <t xml:space="preserve">Data sync between systems</t>
  </si>
  <si>
    <t xml:space="preserve">1. Update data in source system
2. Wait for sync interval
3. Verify in target system</t>
  </si>
  <si>
    <t xml:space="preserve">Data consistent between systems within SLA; conflicts logged</t>
  </si>
  <si>
    <t xml:space="preserve">TC-027</t>
  </si>
  <si>
    <t xml:space="preserve">Notifications &amp; Alerts</t>
  </si>
  <si>
    <t xml:space="preserve">Email notifications triggered</t>
  </si>
  <si>
    <t xml:space="preserve">1. Perform action that triggers email
2. Check inbox</t>
  </si>
  <si>
    <t xml:space="preserve">Email received within SLA; content accurate; links functional</t>
  </si>
  <si>
    <t xml:space="preserve">TC-028</t>
  </si>
  <si>
    <t xml:space="preserve">In-app notifications</t>
  </si>
  <si>
    <t xml:space="preserve">1. Trigger notification event
2. Check notification panel</t>
  </si>
  <si>
    <t xml:space="preserve">Notification appears in real-time; mark-as-read works; links navigate correctly</t>
  </si>
  <si>
    <t xml:space="preserve">TC-029</t>
  </si>
  <si>
    <t xml:space="preserve">Alert threshold triggers</t>
  </si>
  <si>
    <t xml:space="preserve">1. Create condition exceeding alert threshold
2. Monitor alerts</t>
  </si>
  <si>
    <t xml:space="preserve">Alert fired at correct threshold; correct recipients notified</t>
  </si>
  <si>
    <t xml:space="preserve">TC-030</t>
  </si>
  <si>
    <t xml:space="preserve">Reporting &amp; Export</t>
  </si>
  <si>
    <t xml:space="preserve">Report generation</t>
  </si>
  <si>
    <t xml:space="preserve">1. Select report type and parameters
2. Generate report</t>
  </si>
  <si>
    <t xml:space="preserve">Report generated with accurate data matching filters; totals correct</t>
  </si>
  <si>
    <t xml:space="preserve">TC-031</t>
  </si>
  <si>
    <t xml:space="preserve">Export to CSV/Excel/PDF</t>
  </si>
  <si>
    <t xml:space="preserve">1. Apply filters to data view
2. Click Export
3. Open exported file</t>
  </si>
  <si>
    <t xml:space="preserve">File downloads; data matches filtered view; formatting intact</t>
  </si>
  <si>
    <t xml:space="preserve">TC-032</t>
  </si>
  <si>
    <t xml:space="preserve">Dashboard accuracy</t>
  </si>
  <si>
    <t xml:space="preserve">1. Compare dashboard widgets to underlying data
2. Apply date range filters</t>
  </si>
  <si>
    <t xml:space="preserve">All metrics, charts, and KPIs match source data; filters update all widgets</t>
  </si>
  <si>
    <t xml:space="preserve">TC-033</t>
  </si>
  <si>
    <t xml:space="preserve">Performance</t>
  </si>
  <si>
    <t xml:space="preserve">Page load time</t>
  </si>
  <si>
    <t xml:space="preserve">1. Navigate to each major page
2. Measure load time</t>
  </si>
  <si>
    <t xml:space="preserve">Pages load within acceptable threshold (e.g., &lt;3s on standard connection)</t>
  </si>
  <si>
    <t xml:space="preserve">TC-034</t>
  </si>
  <si>
    <t xml:space="preserve">Large dataset handling</t>
  </si>
  <si>
    <t xml:space="preserve">1. Load view with 10K+ records
2. Apply sort/filter/search</t>
  </si>
  <si>
    <t xml:space="preserve">No timeout or crash; results returned within SLA; pagination works</t>
  </si>
  <si>
    <t xml:space="preserve">TC-035</t>
  </si>
  <si>
    <t xml:space="preserve">Concurrent user load</t>
  </si>
  <si>
    <t xml:space="preserve">1. Simulate N concurrent users
2. Monitor response times and errors</t>
  </si>
  <si>
    <t xml:space="preserve">Response time degrades gracefully; no errors under expected load</t>
  </si>
  <si>
    <t xml:space="preserve">TC-036</t>
  </si>
  <si>
    <t xml:space="preserve">UI / UX</t>
  </si>
  <si>
    <t xml:space="preserve">Cross-browser compatibility</t>
  </si>
  <si>
    <t xml:space="preserve">1. Execute core workflows in Chrome, Firefox, Safari, Edge</t>
  </si>
  <si>
    <t xml:space="preserve">Consistent behavior and layout across all supported browsers</t>
  </si>
  <si>
    <t xml:space="preserve">TC-037</t>
  </si>
  <si>
    <t xml:space="preserve">Mobile / responsive layout</t>
  </si>
  <si>
    <t xml:space="preserve">1. Access app on mobile device or resize browser
2. Test core flows</t>
  </si>
  <si>
    <t xml:space="preserve">Layout adapts; all functions accessible; no overlapping elements</t>
  </si>
  <si>
    <t xml:space="preserve">TC-038</t>
  </si>
  <si>
    <t xml:space="preserve">Accessibility - Web Content Accessibility Guidelines (WCAG)</t>
  </si>
  <si>
    <t xml:space="preserve">1. Test with screen reader
2. Check keyboard navigation
3. Verify contrast ratios</t>
  </si>
  <si>
    <t xml:space="preserve">All interactive elements accessible; ARIA labels present; contrast compliant</t>
  </si>
  <si>
    <t xml:space="preserve">TC-039</t>
  </si>
  <si>
    <t xml:space="preserve">Error state display</t>
  </si>
  <si>
    <t xml:space="preserve">1. Trigger various error conditions
2. Observe error messages</t>
  </si>
  <si>
    <t xml:space="preserve">User-friendly messages; no stack traces or technical jargon exposed</t>
  </si>
  <si>
    <t xml:space="preserve">TC-040</t>
  </si>
  <si>
    <t xml:space="preserve">Loading states and feedback</t>
  </si>
  <si>
    <t xml:space="preserve">1. Trigger long-running operations
2. Observe UI behavior</t>
  </si>
  <si>
    <t xml:space="preserve">Loading indicator shown; UI not frozen; cancel option where applicable</t>
  </si>
  <si>
    <t xml:space="preserve">TC-041</t>
  </si>
  <si>
    <t xml:space="preserve">Security</t>
  </si>
  <si>
    <t xml:space="preserve">Data encryption at rest and in transit</t>
  </si>
  <si>
    <t xml:space="preserve">1. Inspect network traffic (HTTPS)
2. Verify DB encryption config</t>
  </si>
  <si>
    <t xml:space="preserve">All traffic over TLS; sensitive data encrypted at rest</t>
  </si>
  <si>
    <t xml:space="preserve">TC-042</t>
  </si>
  <si>
    <t xml:space="preserve">CSRF / XSS protection</t>
  </si>
  <si>
    <t xml:space="preserve">1. Attempt cross-site request forgery
2. Attempt stored/reflected XSS</t>
  </si>
  <si>
    <t xml:space="preserve">CSRF tokens enforced; XSS payloads sanitized and not executed</t>
  </si>
  <si>
    <t xml:space="preserve">TC-043</t>
  </si>
  <si>
    <t xml:space="preserve">Sensitive data masking</t>
  </si>
  <si>
    <t xml:space="preserve">1. View screens displaying PII/secrets
2. Check API responses</t>
  </si>
  <si>
    <t xml:space="preserve">SSNs, passwords, tokens, etc. masked in UI and API responses</t>
  </si>
  <si>
    <t xml:space="preserve">TC-044</t>
  </si>
  <si>
    <t xml:space="preserve">API authentication enforcement</t>
  </si>
  <si>
    <t xml:space="preserve">1. Call API endpoints without auth token
2. Call with expired token</t>
  </si>
  <si>
    <t xml:space="preserve">Unauthenticated requests return 401; expired tokens return 401/403</t>
  </si>
  <si>
    <t xml:space="preserve">TC-045</t>
  </si>
  <si>
    <t xml:space="preserve">Rate limiting</t>
  </si>
  <si>
    <t xml:space="preserve">1. Send rapid successive requests to API
2. Observe responses</t>
  </si>
  <si>
    <t xml:space="preserve">Rate limit enforced; 429 returned after threshold; no service degradation</t>
  </si>
  <si>
    <t xml:space="preserve">TC-046</t>
  </si>
  <si>
    <t xml:space="preserve">Error Handling &amp; Recovery</t>
  </si>
  <si>
    <t xml:space="preserve">Graceful failure on dependency outage</t>
  </si>
  <si>
    <t xml:space="preserve">1. Disable a downstream service
2. Perform dependent operation</t>
  </si>
  <si>
    <t xml:space="preserve">User-friendly error; no data loss; system recovers when service restored</t>
  </si>
  <si>
    <t xml:space="preserve">TC-047</t>
  </si>
  <si>
    <t xml:space="preserve">Transaction rollback on failure</t>
  </si>
  <si>
    <t xml:space="preserve">1. Initiate multi-step operation
2. Simulate failure mid-way</t>
  </si>
  <si>
    <t xml:space="preserve">Partial changes rolled back; data consistent; user notified</t>
  </si>
  <si>
    <t xml:space="preserve">TC-048</t>
  </si>
  <si>
    <t xml:space="preserve">Retry and idempotency</t>
  </si>
  <si>
    <t xml:space="preserve">1. Submit same request multiple times (double-click, refresh)
2. Check data</t>
  </si>
  <si>
    <t xml:space="preserve">No duplicate records created; operation idempotent</t>
  </si>
  <si>
    <t xml:space="preserve">TC-049</t>
  </si>
  <si>
    <t xml:space="preserve">Deployment &amp; Environment</t>
  </si>
  <si>
    <t xml:space="preserve">Config parity across environments</t>
  </si>
  <si>
    <t xml:space="preserve">1. Compare config between UAT and Prod
2. Flag differences</t>
  </si>
  <si>
    <t xml:space="preserve">All intentional differences documented; no accidental config drift</t>
  </si>
  <si>
    <t xml:space="preserve">TC-050</t>
  </si>
  <si>
    <t xml:space="preserve">Database migration verification</t>
  </si>
  <si>
    <t xml:space="preserve">1. Run migration scripts
2. Verify schema changes
3. Check existing data</t>
  </si>
  <si>
    <t xml:space="preserve">Schema updated correctly; existing data intact; rollback tested</t>
  </si>
  <si>
    <t xml:space="preserve">TC-051</t>
  </si>
  <si>
    <t xml:space="preserve">Smoke test post-deployment</t>
  </si>
  <si>
    <t xml:space="preserve">1. Execute critical path flows after deployment
2. Check logs for errors</t>
  </si>
  <si>
    <t xml:space="preserve">Core flows pass; no new errors in logs; system health checks green</t>
  </si>
  <si>
    <t xml:space="preserve">UAT Execution Summary</t>
  </si>
  <si>
    <t xml:space="preserve">Total Test Cases</t>
  </si>
  <si>
    <t xml:space="preserve">Total</t>
  </si>
  <si>
    <t xml:space="preserve">Pass</t>
  </si>
  <si>
    <t xml:space="preserve">Fail</t>
  </si>
  <si>
    <t xml:space="preserve">Blocked</t>
  </si>
  <si>
    <t xml:space="preserve">Not Tested</t>
  </si>
  <si>
    <t xml:space="preserve">In Progress</t>
  </si>
  <si>
    <t xml:space="preserve">Deferred</t>
  </si>
  <si>
    <t xml:space="preserve">Pass Rate (%)</t>
  </si>
  <si>
    <t xml:space="preserve">Completion Rate (%)</t>
  </si>
  <si>
    <t xml:space="preserve">UAT Checklist — Instructions</t>
  </si>
  <si>
    <t xml:space="preserve">1. UAT Checklist tab: Contains all test cases organized by category.</t>
  </si>
  <si>
    <t xml:space="preserve">2. For each test case, execute the steps and record Actual Result.</t>
  </si>
  <si>
    <t xml:space="preserve">3. Set Status using the dropdown: Pass / Fail / Blocked / Not Tested / In Progress / Deferred.</t>
  </si>
  <si>
    <t xml:space="preserve">4. If a defect is found, log it in your defect tracker and record the Defect ID.</t>
  </si>
  <si>
    <t xml:space="preserve">5. Summary tab: Auto-calculates pass rate, completion rate, and per-category breakdown.</t>
  </si>
  <si>
    <t xml:space="preserve">6. Add new test cases by inserting rows within the checklist (keep within filter range).</t>
  </si>
  <si>
    <t xml:space="preserve">7. Customize categories, priorities, and environments to match your project.</t>
  </si>
  <si>
    <t xml:space="preserve">Status Definitions:</t>
  </si>
  <si>
    <t xml:space="preserve">  Pass — Test executed; actual result matches expected result.</t>
  </si>
  <si>
    <t xml:space="preserve">  Fail — Test executed; actual result does NOT match expected result.</t>
  </si>
  <si>
    <t xml:space="preserve">  Blocked — Cannot execute due to environment, dependency, or defect.</t>
  </si>
  <si>
    <t xml:space="preserve">  Not Tested — Not yet attempted.</t>
  </si>
  <si>
    <t xml:space="preserve">  In Progress — Execution started but not complete.</t>
  </si>
  <si>
    <t xml:space="preserve">  Deferred — Intentionally postponed to a later cycle.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</si>
</sst>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0" activeCellId="0" sqref="C4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45"/>
    <col collapsed="false" customWidth="true" hidden="false" outlineLevel="0" max="6" min="5" style="1" width="35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30"/>
  </cols>
  <sheetData>
    <row r="1" customFormat="false" ht="25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49.5" hidden="false" customHeight="true" outlineLevel="0" collapsed="false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5"/>
      <c r="G2" s="3"/>
      <c r="H2" s="3" t="s">
        <v>18</v>
      </c>
      <c r="I2" s="5"/>
      <c r="J2" s="3"/>
      <c r="K2" s="6"/>
      <c r="L2" s="3"/>
      <c r="M2" s="5"/>
    </row>
    <row r="3" customFormat="false" ht="49.5" hidden="false" customHeight="true" outlineLevel="0" collapsed="false">
      <c r="A3" s="3" t="s">
        <v>19</v>
      </c>
      <c r="B3" s="4" t="s">
        <v>14</v>
      </c>
      <c r="C3" s="5" t="s">
        <v>20</v>
      </c>
      <c r="D3" s="5" t="s">
        <v>21</v>
      </c>
      <c r="E3" s="5" t="s">
        <v>22</v>
      </c>
      <c r="F3" s="5"/>
      <c r="G3" s="3"/>
      <c r="H3" s="3" t="s">
        <v>18</v>
      </c>
      <c r="I3" s="5"/>
      <c r="J3" s="3"/>
      <c r="K3" s="6"/>
      <c r="L3" s="3"/>
      <c r="M3" s="5"/>
    </row>
    <row r="4" customFormat="false" ht="49.5" hidden="false" customHeight="true" outlineLevel="0" collapsed="false">
      <c r="A4" s="3" t="s">
        <v>23</v>
      </c>
      <c r="B4" s="4" t="s">
        <v>14</v>
      </c>
      <c r="C4" s="5" t="s">
        <v>24</v>
      </c>
      <c r="D4" s="5" t="s">
        <v>25</v>
      </c>
      <c r="E4" s="5" t="s">
        <v>26</v>
      </c>
      <c r="F4" s="5"/>
      <c r="G4" s="3"/>
      <c r="H4" s="3" t="s">
        <v>27</v>
      </c>
      <c r="I4" s="5"/>
      <c r="J4" s="3"/>
      <c r="K4" s="6"/>
      <c r="L4" s="3"/>
      <c r="M4" s="5"/>
    </row>
    <row r="5" customFormat="false" ht="49.5" hidden="false" customHeight="true" outlineLevel="0" collapsed="false">
      <c r="A5" s="3" t="s">
        <v>28</v>
      </c>
      <c r="B5" s="4" t="s">
        <v>14</v>
      </c>
      <c r="C5" s="5" t="s">
        <v>29</v>
      </c>
      <c r="D5" s="5" t="s">
        <v>30</v>
      </c>
      <c r="E5" s="5" t="s">
        <v>31</v>
      </c>
      <c r="F5" s="5"/>
      <c r="G5" s="3"/>
      <c r="H5" s="3" t="s">
        <v>18</v>
      </c>
      <c r="I5" s="5"/>
      <c r="J5" s="3"/>
      <c r="K5" s="6"/>
      <c r="L5" s="3"/>
      <c r="M5" s="5"/>
    </row>
    <row r="6" customFormat="false" ht="49.5" hidden="false" customHeight="true" outlineLevel="0" collapsed="false">
      <c r="A6" s="3" t="s">
        <v>32</v>
      </c>
      <c r="B6" s="4" t="s">
        <v>14</v>
      </c>
      <c r="C6" s="5" t="s">
        <v>33</v>
      </c>
      <c r="D6" s="5" t="s">
        <v>34</v>
      </c>
      <c r="E6" s="5" t="s">
        <v>35</v>
      </c>
      <c r="F6" s="5"/>
      <c r="G6" s="3"/>
      <c r="H6" s="3" t="s">
        <v>27</v>
      </c>
      <c r="I6" s="5"/>
      <c r="J6" s="3"/>
      <c r="K6" s="6"/>
      <c r="L6" s="3"/>
      <c r="M6" s="5"/>
    </row>
    <row r="7" customFormat="false" ht="49.5" hidden="false" customHeight="true" outlineLevel="0" collapsed="false">
      <c r="A7" s="3" t="s">
        <v>36</v>
      </c>
      <c r="B7" s="4" t="s">
        <v>14</v>
      </c>
      <c r="C7" s="5" t="s">
        <v>37</v>
      </c>
      <c r="D7" s="5" t="s">
        <v>38</v>
      </c>
      <c r="E7" s="5" t="s">
        <v>39</v>
      </c>
      <c r="F7" s="5"/>
      <c r="G7" s="3"/>
      <c r="H7" s="3" t="s">
        <v>27</v>
      </c>
      <c r="I7" s="5"/>
      <c r="J7" s="3"/>
      <c r="K7" s="6"/>
      <c r="L7" s="3"/>
      <c r="M7" s="5"/>
    </row>
    <row r="8" customFormat="false" ht="49.5" hidden="false" customHeight="true" outlineLevel="0" collapsed="false">
      <c r="A8" s="3" t="s">
        <v>40</v>
      </c>
      <c r="B8" s="4" t="s">
        <v>41</v>
      </c>
      <c r="C8" s="5" t="s">
        <v>42</v>
      </c>
      <c r="D8" s="5" t="s">
        <v>43</v>
      </c>
      <c r="E8" s="5" t="s">
        <v>44</v>
      </c>
      <c r="F8" s="5"/>
      <c r="G8" s="3"/>
      <c r="H8" s="3" t="s">
        <v>18</v>
      </c>
      <c r="I8" s="5"/>
      <c r="J8" s="3"/>
      <c r="K8" s="6"/>
      <c r="L8" s="3"/>
      <c r="M8" s="5"/>
    </row>
    <row r="9" customFormat="false" ht="49.5" hidden="false" customHeight="true" outlineLevel="0" collapsed="false">
      <c r="A9" s="3" t="s">
        <v>45</v>
      </c>
      <c r="B9" s="4" t="s">
        <v>41</v>
      </c>
      <c r="C9" s="5" t="s">
        <v>46</v>
      </c>
      <c r="D9" s="5" t="s">
        <v>47</v>
      </c>
      <c r="E9" s="5" t="s">
        <v>48</v>
      </c>
      <c r="F9" s="5"/>
      <c r="G9" s="3"/>
      <c r="H9" s="3" t="s">
        <v>18</v>
      </c>
      <c r="I9" s="5"/>
      <c r="J9" s="3"/>
      <c r="K9" s="6"/>
      <c r="L9" s="3"/>
      <c r="M9" s="5"/>
    </row>
    <row r="10" customFormat="false" ht="49.5" hidden="false" customHeight="true" outlineLevel="0" collapsed="false">
      <c r="A10" s="3" t="s">
        <v>49</v>
      </c>
      <c r="B10" s="4" t="s">
        <v>41</v>
      </c>
      <c r="C10" s="5" t="s">
        <v>50</v>
      </c>
      <c r="D10" s="5" t="s">
        <v>51</v>
      </c>
      <c r="E10" s="5" t="s">
        <v>52</v>
      </c>
      <c r="F10" s="5"/>
      <c r="G10" s="3"/>
      <c r="H10" s="3" t="s">
        <v>27</v>
      </c>
      <c r="I10" s="5"/>
      <c r="J10" s="3"/>
      <c r="K10" s="6"/>
      <c r="L10" s="3"/>
      <c r="M10" s="5"/>
    </row>
    <row r="11" customFormat="false" ht="49.5" hidden="false" customHeight="true" outlineLevel="0" collapsed="false">
      <c r="A11" s="3" t="s">
        <v>53</v>
      </c>
      <c r="B11" s="4" t="s">
        <v>41</v>
      </c>
      <c r="C11" s="5" t="s">
        <v>54</v>
      </c>
      <c r="D11" s="5" t="s">
        <v>55</v>
      </c>
      <c r="E11" s="5" t="s">
        <v>56</v>
      </c>
      <c r="F11" s="5"/>
      <c r="G11" s="3"/>
      <c r="H11" s="3" t="s">
        <v>27</v>
      </c>
      <c r="I11" s="5"/>
      <c r="J11" s="3"/>
      <c r="K11" s="6"/>
      <c r="L11" s="3"/>
      <c r="M11" s="5"/>
    </row>
    <row r="12" customFormat="false" ht="49.5" hidden="false" customHeight="true" outlineLevel="0" collapsed="false">
      <c r="A12" s="3" t="s">
        <v>57</v>
      </c>
      <c r="B12" s="4" t="s">
        <v>41</v>
      </c>
      <c r="C12" s="5" t="s">
        <v>58</v>
      </c>
      <c r="D12" s="5" t="s">
        <v>59</v>
      </c>
      <c r="E12" s="5" t="s">
        <v>60</v>
      </c>
      <c r="F12" s="5"/>
      <c r="G12" s="3"/>
      <c r="H12" s="3" t="s">
        <v>61</v>
      </c>
      <c r="I12" s="5"/>
      <c r="J12" s="3"/>
      <c r="K12" s="6"/>
      <c r="L12" s="3"/>
      <c r="M12" s="5"/>
    </row>
    <row r="13" customFormat="false" ht="49.5" hidden="false" customHeight="true" outlineLevel="0" collapsed="false">
      <c r="A13" s="3" t="s">
        <v>62</v>
      </c>
      <c r="B13" s="4" t="s">
        <v>41</v>
      </c>
      <c r="C13" s="5" t="s">
        <v>63</v>
      </c>
      <c r="D13" s="5" t="s">
        <v>64</v>
      </c>
      <c r="E13" s="5" t="s">
        <v>65</v>
      </c>
      <c r="F13" s="5"/>
      <c r="G13" s="3"/>
      <c r="H13" s="3" t="s">
        <v>61</v>
      </c>
      <c r="I13" s="5"/>
      <c r="J13" s="3"/>
      <c r="K13" s="6"/>
      <c r="L13" s="3"/>
      <c r="M13" s="5"/>
    </row>
    <row r="14" customFormat="false" ht="49.5" hidden="false" customHeight="true" outlineLevel="0" collapsed="false">
      <c r="A14" s="3" t="s">
        <v>66</v>
      </c>
      <c r="B14" s="4" t="s">
        <v>67</v>
      </c>
      <c r="C14" s="5" t="s">
        <v>68</v>
      </c>
      <c r="D14" s="5" t="s">
        <v>69</v>
      </c>
      <c r="E14" s="5" t="s">
        <v>70</v>
      </c>
      <c r="F14" s="5"/>
      <c r="G14" s="3"/>
      <c r="H14" s="3" t="s">
        <v>18</v>
      </c>
      <c r="I14" s="5"/>
      <c r="J14" s="3"/>
      <c r="K14" s="6"/>
      <c r="L14" s="3"/>
      <c r="M14" s="5"/>
    </row>
    <row r="15" customFormat="false" ht="49.5" hidden="false" customHeight="true" outlineLevel="0" collapsed="false">
      <c r="A15" s="3" t="s">
        <v>71</v>
      </c>
      <c r="B15" s="4" t="s">
        <v>67</v>
      </c>
      <c r="C15" s="5" t="s">
        <v>72</v>
      </c>
      <c r="D15" s="5" t="s">
        <v>73</v>
      </c>
      <c r="E15" s="5" t="s">
        <v>74</v>
      </c>
      <c r="F15" s="5"/>
      <c r="G15" s="3"/>
      <c r="H15" s="3" t="s">
        <v>27</v>
      </c>
      <c r="I15" s="5"/>
      <c r="J15" s="3"/>
      <c r="K15" s="6"/>
      <c r="L15" s="3"/>
      <c r="M15" s="5"/>
    </row>
    <row r="16" customFormat="false" ht="49.5" hidden="false" customHeight="true" outlineLevel="0" collapsed="false">
      <c r="A16" s="3" t="s">
        <v>75</v>
      </c>
      <c r="B16" s="4" t="s">
        <v>67</v>
      </c>
      <c r="C16" s="5" t="s">
        <v>76</v>
      </c>
      <c r="D16" s="5" t="s">
        <v>77</v>
      </c>
      <c r="E16" s="5" t="s">
        <v>78</v>
      </c>
      <c r="F16" s="5"/>
      <c r="G16" s="3"/>
      <c r="H16" s="3" t="s">
        <v>18</v>
      </c>
      <c r="I16" s="5"/>
      <c r="J16" s="3"/>
      <c r="K16" s="6"/>
      <c r="L16" s="3"/>
      <c r="M16" s="5"/>
    </row>
    <row r="17" customFormat="false" ht="49.5" hidden="false" customHeight="true" outlineLevel="0" collapsed="false">
      <c r="A17" s="3" t="s">
        <v>79</v>
      </c>
      <c r="B17" s="4" t="s">
        <v>67</v>
      </c>
      <c r="C17" s="5" t="s">
        <v>80</v>
      </c>
      <c r="D17" s="5" t="s">
        <v>81</v>
      </c>
      <c r="E17" s="5" t="s">
        <v>82</v>
      </c>
      <c r="F17" s="5"/>
      <c r="G17" s="3"/>
      <c r="H17" s="3" t="s">
        <v>27</v>
      </c>
      <c r="I17" s="5"/>
      <c r="J17" s="3"/>
      <c r="K17" s="6"/>
      <c r="L17" s="3"/>
      <c r="M17" s="5"/>
    </row>
    <row r="18" customFormat="false" ht="49.5" hidden="false" customHeight="true" outlineLevel="0" collapsed="false">
      <c r="A18" s="3" t="s">
        <v>83</v>
      </c>
      <c r="B18" s="4" t="s">
        <v>67</v>
      </c>
      <c r="C18" s="5" t="s">
        <v>84</v>
      </c>
      <c r="D18" s="5" t="s">
        <v>85</v>
      </c>
      <c r="E18" s="5" t="s">
        <v>86</v>
      </c>
      <c r="F18" s="5"/>
      <c r="G18" s="3"/>
      <c r="H18" s="3" t="s">
        <v>27</v>
      </c>
      <c r="I18" s="5"/>
      <c r="J18" s="3"/>
      <c r="K18" s="6"/>
      <c r="L18" s="3"/>
      <c r="M18" s="5"/>
    </row>
    <row r="19" customFormat="false" ht="49.5" hidden="false" customHeight="true" outlineLevel="0" collapsed="false">
      <c r="A19" s="3" t="s">
        <v>87</v>
      </c>
      <c r="B19" s="4" t="s">
        <v>88</v>
      </c>
      <c r="C19" s="5" t="s">
        <v>89</v>
      </c>
      <c r="D19" s="5" t="s">
        <v>90</v>
      </c>
      <c r="E19" s="5" t="s">
        <v>91</v>
      </c>
      <c r="F19" s="5"/>
      <c r="G19" s="3"/>
      <c r="H19" s="3" t="s">
        <v>18</v>
      </c>
      <c r="I19" s="5"/>
      <c r="J19" s="3"/>
      <c r="K19" s="6"/>
      <c r="L19" s="3"/>
      <c r="M19" s="5"/>
    </row>
    <row r="20" customFormat="false" ht="49.5" hidden="false" customHeight="true" outlineLevel="0" collapsed="false">
      <c r="A20" s="3" t="s">
        <v>92</v>
      </c>
      <c r="B20" s="4" t="s">
        <v>88</v>
      </c>
      <c r="C20" s="5" t="s">
        <v>93</v>
      </c>
      <c r="D20" s="5" t="s">
        <v>94</v>
      </c>
      <c r="E20" s="5" t="s">
        <v>95</v>
      </c>
      <c r="F20" s="5"/>
      <c r="G20" s="3"/>
      <c r="H20" s="3" t="s">
        <v>27</v>
      </c>
      <c r="I20" s="5"/>
      <c r="J20" s="3"/>
      <c r="K20" s="6"/>
      <c r="L20" s="3"/>
      <c r="M20" s="5"/>
    </row>
    <row r="21" customFormat="false" ht="49.5" hidden="false" customHeight="true" outlineLevel="0" collapsed="false">
      <c r="A21" s="3" t="s">
        <v>96</v>
      </c>
      <c r="B21" s="4" t="s">
        <v>88</v>
      </c>
      <c r="C21" s="5" t="s">
        <v>97</v>
      </c>
      <c r="D21" s="5" t="s">
        <v>98</v>
      </c>
      <c r="E21" s="5" t="s">
        <v>99</v>
      </c>
      <c r="F21" s="5"/>
      <c r="G21" s="3"/>
      <c r="H21" s="3" t="s">
        <v>27</v>
      </c>
      <c r="I21" s="5"/>
      <c r="J21" s="3"/>
      <c r="K21" s="6"/>
      <c r="L21" s="3"/>
      <c r="M21" s="5"/>
    </row>
    <row r="22" customFormat="false" ht="49.5" hidden="false" customHeight="true" outlineLevel="0" collapsed="false">
      <c r="A22" s="3" t="s">
        <v>100</v>
      </c>
      <c r="B22" s="4" t="s">
        <v>88</v>
      </c>
      <c r="C22" s="5" t="s">
        <v>101</v>
      </c>
      <c r="D22" s="5" t="s">
        <v>102</v>
      </c>
      <c r="E22" s="5" t="s">
        <v>103</v>
      </c>
      <c r="F22" s="5"/>
      <c r="G22" s="3"/>
      <c r="H22" s="3" t="s">
        <v>27</v>
      </c>
      <c r="I22" s="5"/>
      <c r="J22" s="3"/>
      <c r="K22" s="6"/>
      <c r="L22" s="3"/>
      <c r="M22" s="5"/>
    </row>
    <row r="23" customFormat="false" ht="49.5" hidden="false" customHeight="true" outlineLevel="0" collapsed="false">
      <c r="A23" s="3" t="s">
        <v>104</v>
      </c>
      <c r="B23" s="4" t="s">
        <v>88</v>
      </c>
      <c r="C23" s="5" t="s">
        <v>105</v>
      </c>
      <c r="D23" s="5" t="s">
        <v>106</v>
      </c>
      <c r="E23" s="5" t="s">
        <v>107</v>
      </c>
      <c r="F23" s="5"/>
      <c r="G23" s="3"/>
      <c r="H23" s="3" t="s">
        <v>61</v>
      </c>
      <c r="I23" s="5"/>
      <c r="J23" s="3"/>
      <c r="K23" s="6"/>
      <c r="L23" s="3"/>
      <c r="M23" s="5"/>
    </row>
    <row r="24" customFormat="false" ht="49.5" hidden="false" customHeight="true" outlineLevel="0" collapsed="false">
      <c r="A24" s="3" t="s">
        <v>108</v>
      </c>
      <c r="B24" s="4" t="s">
        <v>109</v>
      </c>
      <c r="C24" s="5" t="s">
        <v>110</v>
      </c>
      <c r="D24" s="5" t="s">
        <v>111</v>
      </c>
      <c r="E24" s="5" t="s">
        <v>112</v>
      </c>
      <c r="F24" s="5"/>
      <c r="G24" s="3"/>
      <c r="H24" s="3" t="s">
        <v>27</v>
      </c>
      <c r="I24" s="5"/>
      <c r="J24" s="3"/>
      <c r="K24" s="6"/>
      <c r="L24" s="3"/>
      <c r="M24" s="5"/>
    </row>
    <row r="25" customFormat="false" ht="49.5" hidden="false" customHeight="true" outlineLevel="0" collapsed="false">
      <c r="A25" s="3" t="s">
        <v>113</v>
      </c>
      <c r="B25" s="4" t="s">
        <v>109</v>
      </c>
      <c r="C25" s="5" t="s">
        <v>114</v>
      </c>
      <c r="D25" s="5" t="s">
        <v>115</v>
      </c>
      <c r="E25" s="5" t="s">
        <v>116</v>
      </c>
      <c r="F25" s="5"/>
      <c r="G25" s="3"/>
      <c r="H25" s="3" t="s">
        <v>27</v>
      </c>
      <c r="I25" s="5"/>
      <c r="J25" s="3"/>
      <c r="K25" s="6"/>
      <c r="L25" s="3"/>
      <c r="M25" s="5"/>
    </row>
    <row r="26" customFormat="false" ht="49.5" hidden="false" customHeight="true" outlineLevel="0" collapsed="false">
      <c r="A26" s="3" t="s">
        <v>117</v>
      </c>
      <c r="B26" s="4" t="s">
        <v>109</v>
      </c>
      <c r="C26" s="5" t="s">
        <v>118</v>
      </c>
      <c r="D26" s="5" t="s">
        <v>119</v>
      </c>
      <c r="E26" s="5" t="s">
        <v>120</v>
      </c>
      <c r="F26" s="5"/>
      <c r="G26" s="3"/>
      <c r="H26" s="3" t="s">
        <v>61</v>
      </c>
      <c r="I26" s="5"/>
      <c r="J26" s="3"/>
      <c r="K26" s="6"/>
      <c r="L26" s="3"/>
      <c r="M26" s="5"/>
    </row>
    <row r="27" customFormat="false" ht="49.5" hidden="false" customHeight="true" outlineLevel="0" collapsed="false">
      <c r="A27" s="3" t="s">
        <v>121</v>
      </c>
      <c r="B27" s="4" t="s">
        <v>109</v>
      </c>
      <c r="C27" s="5" t="s">
        <v>122</v>
      </c>
      <c r="D27" s="5" t="s">
        <v>123</v>
      </c>
      <c r="E27" s="5" t="s">
        <v>124</v>
      </c>
      <c r="F27" s="5"/>
      <c r="G27" s="3"/>
      <c r="H27" s="3" t="s">
        <v>27</v>
      </c>
      <c r="I27" s="5"/>
      <c r="J27" s="3"/>
      <c r="K27" s="6"/>
      <c r="L27" s="3"/>
      <c r="M27" s="5"/>
    </row>
    <row r="28" customFormat="false" ht="49.5" hidden="false" customHeight="true" outlineLevel="0" collapsed="false">
      <c r="A28" s="3" t="s">
        <v>125</v>
      </c>
      <c r="B28" s="4" t="s">
        <v>126</v>
      </c>
      <c r="C28" s="5" t="s">
        <v>127</v>
      </c>
      <c r="D28" s="5" t="s">
        <v>128</v>
      </c>
      <c r="E28" s="5" t="s">
        <v>129</v>
      </c>
      <c r="F28" s="5"/>
      <c r="G28" s="3"/>
      <c r="H28" s="3" t="s">
        <v>27</v>
      </c>
      <c r="I28" s="5"/>
      <c r="J28" s="3"/>
      <c r="K28" s="6"/>
      <c r="L28" s="3"/>
      <c r="M28" s="5"/>
    </row>
    <row r="29" customFormat="false" ht="49.5" hidden="false" customHeight="true" outlineLevel="0" collapsed="false">
      <c r="A29" s="3" t="s">
        <v>130</v>
      </c>
      <c r="B29" s="4" t="s">
        <v>126</v>
      </c>
      <c r="C29" s="5" t="s">
        <v>131</v>
      </c>
      <c r="D29" s="5" t="s">
        <v>132</v>
      </c>
      <c r="E29" s="5" t="s">
        <v>133</v>
      </c>
      <c r="F29" s="5"/>
      <c r="G29" s="3"/>
      <c r="H29" s="3" t="s">
        <v>61</v>
      </c>
      <c r="I29" s="5"/>
      <c r="J29" s="3"/>
      <c r="K29" s="6"/>
      <c r="L29" s="3"/>
      <c r="M29" s="5"/>
    </row>
    <row r="30" customFormat="false" ht="49.5" hidden="false" customHeight="true" outlineLevel="0" collapsed="false">
      <c r="A30" s="3" t="s">
        <v>134</v>
      </c>
      <c r="B30" s="4" t="s">
        <v>126</v>
      </c>
      <c r="C30" s="5" t="s">
        <v>135</v>
      </c>
      <c r="D30" s="5" t="s">
        <v>136</v>
      </c>
      <c r="E30" s="5" t="s">
        <v>137</v>
      </c>
      <c r="F30" s="5"/>
      <c r="G30" s="3"/>
      <c r="H30" s="3" t="s">
        <v>61</v>
      </c>
      <c r="I30" s="5"/>
      <c r="J30" s="3"/>
      <c r="K30" s="6"/>
      <c r="L30" s="3"/>
      <c r="M30" s="5"/>
    </row>
    <row r="31" customFormat="false" ht="49.5" hidden="false" customHeight="true" outlineLevel="0" collapsed="false">
      <c r="A31" s="3" t="s">
        <v>138</v>
      </c>
      <c r="B31" s="4" t="s">
        <v>139</v>
      </c>
      <c r="C31" s="5" t="s">
        <v>140</v>
      </c>
      <c r="D31" s="5" t="s">
        <v>141</v>
      </c>
      <c r="E31" s="5" t="s">
        <v>142</v>
      </c>
      <c r="F31" s="5"/>
      <c r="G31" s="3"/>
      <c r="H31" s="3" t="s">
        <v>27</v>
      </c>
      <c r="I31" s="5"/>
      <c r="J31" s="3"/>
      <c r="K31" s="6"/>
      <c r="L31" s="3"/>
      <c r="M31" s="5"/>
    </row>
    <row r="32" customFormat="false" ht="49.5" hidden="false" customHeight="true" outlineLevel="0" collapsed="false">
      <c r="A32" s="3" t="s">
        <v>143</v>
      </c>
      <c r="B32" s="4" t="s">
        <v>139</v>
      </c>
      <c r="C32" s="5" t="s">
        <v>144</v>
      </c>
      <c r="D32" s="5" t="s">
        <v>145</v>
      </c>
      <c r="E32" s="5" t="s">
        <v>146</v>
      </c>
      <c r="F32" s="5"/>
      <c r="G32" s="3"/>
      <c r="H32" s="3" t="s">
        <v>27</v>
      </c>
      <c r="I32" s="5"/>
      <c r="J32" s="3"/>
      <c r="K32" s="6"/>
      <c r="L32" s="3"/>
      <c r="M32" s="5"/>
    </row>
    <row r="33" customFormat="false" ht="49.5" hidden="false" customHeight="true" outlineLevel="0" collapsed="false">
      <c r="A33" s="3" t="s">
        <v>147</v>
      </c>
      <c r="B33" s="4" t="s">
        <v>139</v>
      </c>
      <c r="C33" s="5" t="s">
        <v>148</v>
      </c>
      <c r="D33" s="5" t="s">
        <v>149</v>
      </c>
      <c r="E33" s="5" t="s">
        <v>150</v>
      </c>
      <c r="F33" s="5"/>
      <c r="G33" s="3"/>
      <c r="H33" s="3" t="s">
        <v>27</v>
      </c>
      <c r="I33" s="5"/>
      <c r="J33" s="3"/>
      <c r="K33" s="6"/>
      <c r="L33" s="3"/>
      <c r="M33" s="5"/>
    </row>
    <row r="34" customFormat="false" ht="49.5" hidden="false" customHeight="true" outlineLevel="0" collapsed="false">
      <c r="A34" s="3" t="s">
        <v>151</v>
      </c>
      <c r="B34" s="4" t="s">
        <v>152</v>
      </c>
      <c r="C34" s="5" t="s">
        <v>153</v>
      </c>
      <c r="D34" s="5" t="s">
        <v>154</v>
      </c>
      <c r="E34" s="5" t="s">
        <v>155</v>
      </c>
      <c r="F34" s="5"/>
      <c r="G34" s="3"/>
      <c r="H34" s="3" t="s">
        <v>27</v>
      </c>
      <c r="I34" s="5"/>
      <c r="J34" s="3"/>
      <c r="K34" s="6"/>
      <c r="L34" s="3"/>
      <c r="M34" s="5"/>
    </row>
    <row r="35" customFormat="false" ht="49.5" hidden="false" customHeight="true" outlineLevel="0" collapsed="false">
      <c r="A35" s="3" t="s">
        <v>156</v>
      </c>
      <c r="B35" s="4" t="s">
        <v>152</v>
      </c>
      <c r="C35" s="5" t="s">
        <v>157</v>
      </c>
      <c r="D35" s="5" t="s">
        <v>158</v>
      </c>
      <c r="E35" s="5" t="s">
        <v>159</v>
      </c>
      <c r="F35" s="5"/>
      <c r="G35" s="3"/>
      <c r="H35" s="3" t="s">
        <v>61</v>
      </c>
      <c r="I35" s="5"/>
      <c r="J35" s="3"/>
      <c r="K35" s="6"/>
      <c r="L35" s="3"/>
      <c r="M35" s="5"/>
    </row>
    <row r="36" customFormat="false" ht="49.5" hidden="false" customHeight="true" outlineLevel="0" collapsed="false">
      <c r="A36" s="3" t="s">
        <v>160</v>
      </c>
      <c r="B36" s="4" t="s">
        <v>152</v>
      </c>
      <c r="C36" s="5" t="s">
        <v>161</v>
      </c>
      <c r="D36" s="5" t="s">
        <v>162</v>
      </c>
      <c r="E36" s="5" t="s">
        <v>163</v>
      </c>
      <c r="F36" s="5"/>
      <c r="G36" s="3"/>
      <c r="H36" s="3" t="s">
        <v>61</v>
      </c>
      <c r="I36" s="5"/>
      <c r="J36" s="3"/>
      <c r="K36" s="6"/>
      <c r="L36" s="3"/>
      <c r="M36" s="5"/>
    </row>
    <row r="37" customFormat="false" ht="49.5" hidden="false" customHeight="true" outlineLevel="0" collapsed="false">
      <c r="A37" s="3" t="s">
        <v>164</v>
      </c>
      <c r="B37" s="4" t="s">
        <v>165</v>
      </c>
      <c r="C37" s="5" t="s">
        <v>166</v>
      </c>
      <c r="D37" s="5" t="s">
        <v>167</v>
      </c>
      <c r="E37" s="5" t="s">
        <v>168</v>
      </c>
      <c r="F37" s="5"/>
      <c r="G37" s="3"/>
      <c r="H37" s="3" t="s">
        <v>27</v>
      </c>
      <c r="I37" s="5"/>
      <c r="J37" s="3"/>
      <c r="K37" s="6"/>
      <c r="L37" s="3"/>
      <c r="M37" s="5"/>
    </row>
    <row r="38" customFormat="false" ht="49.5" hidden="false" customHeight="true" outlineLevel="0" collapsed="false">
      <c r="A38" s="3" t="s">
        <v>169</v>
      </c>
      <c r="B38" s="4" t="s">
        <v>165</v>
      </c>
      <c r="C38" s="5" t="s">
        <v>170</v>
      </c>
      <c r="D38" s="5" t="s">
        <v>171</v>
      </c>
      <c r="E38" s="5" t="s">
        <v>172</v>
      </c>
      <c r="F38" s="5"/>
      <c r="G38" s="3"/>
      <c r="H38" s="3" t="s">
        <v>61</v>
      </c>
      <c r="I38" s="5"/>
      <c r="J38" s="3"/>
      <c r="K38" s="6"/>
      <c r="L38" s="3"/>
      <c r="M38" s="5"/>
    </row>
    <row r="39" customFormat="false" ht="49.5" hidden="false" customHeight="true" outlineLevel="0" collapsed="false">
      <c r="A39" s="3" t="s">
        <v>173</v>
      </c>
      <c r="B39" s="4" t="s">
        <v>165</v>
      </c>
      <c r="C39" s="5" t="s">
        <v>174</v>
      </c>
      <c r="D39" s="5" t="s">
        <v>175</v>
      </c>
      <c r="E39" s="5" t="s">
        <v>176</v>
      </c>
      <c r="F39" s="5"/>
      <c r="G39" s="3"/>
      <c r="H39" s="3" t="s">
        <v>61</v>
      </c>
      <c r="I39" s="5"/>
      <c r="J39" s="3"/>
      <c r="K39" s="6"/>
      <c r="L39" s="3"/>
      <c r="M39" s="5"/>
    </row>
    <row r="40" customFormat="false" ht="49.5" hidden="false" customHeight="true" outlineLevel="0" collapsed="false">
      <c r="A40" s="3" t="s">
        <v>177</v>
      </c>
      <c r="B40" s="4" t="s">
        <v>165</v>
      </c>
      <c r="C40" s="5" t="s">
        <v>178</v>
      </c>
      <c r="D40" s="5" t="s">
        <v>179</v>
      </c>
      <c r="E40" s="5" t="s">
        <v>180</v>
      </c>
      <c r="F40" s="5"/>
      <c r="G40" s="3"/>
      <c r="H40" s="3" t="s">
        <v>27</v>
      </c>
      <c r="I40" s="5"/>
      <c r="J40" s="3"/>
      <c r="K40" s="6"/>
      <c r="L40" s="3"/>
      <c r="M40" s="5"/>
    </row>
    <row r="41" customFormat="false" ht="49.5" hidden="false" customHeight="true" outlineLevel="0" collapsed="false">
      <c r="A41" s="3" t="s">
        <v>181</v>
      </c>
      <c r="B41" s="4" t="s">
        <v>165</v>
      </c>
      <c r="C41" s="5" t="s">
        <v>182</v>
      </c>
      <c r="D41" s="5" t="s">
        <v>183</v>
      </c>
      <c r="E41" s="5" t="s">
        <v>184</v>
      </c>
      <c r="F41" s="5"/>
      <c r="G41" s="3"/>
      <c r="H41" s="3" t="s">
        <v>61</v>
      </c>
      <c r="I41" s="5"/>
      <c r="J41" s="3"/>
      <c r="K41" s="6"/>
      <c r="L41" s="3"/>
      <c r="M41" s="5"/>
    </row>
    <row r="42" customFormat="false" ht="49.5" hidden="false" customHeight="true" outlineLevel="0" collapsed="false">
      <c r="A42" s="3" t="s">
        <v>185</v>
      </c>
      <c r="B42" s="4" t="s">
        <v>186</v>
      </c>
      <c r="C42" s="5" t="s">
        <v>187</v>
      </c>
      <c r="D42" s="5" t="s">
        <v>188</v>
      </c>
      <c r="E42" s="5" t="s">
        <v>189</v>
      </c>
      <c r="F42" s="5"/>
      <c r="G42" s="3"/>
      <c r="H42" s="3" t="s">
        <v>18</v>
      </c>
      <c r="I42" s="5"/>
      <c r="J42" s="3"/>
      <c r="K42" s="6"/>
      <c r="L42" s="3"/>
      <c r="M42" s="5"/>
    </row>
    <row r="43" customFormat="false" ht="49.5" hidden="false" customHeight="true" outlineLevel="0" collapsed="false">
      <c r="A43" s="3" t="s">
        <v>190</v>
      </c>
      <c r="B43" s="4" t="s">
        <v>186</v>
      </c>
      <c r="C43" s="5" t="s">
        <v>191</v>
      </c>
      <c r="D43" s="5" t="s">
        <v>192</v>
      </c>
      <c r="E43" s="5" t="s">
        <v>193</v>
      </c>
      <c r="F43" s="5"/>
      <c r="G43" s="3"/>
      <c r="H43" s="3" t="s">
        <v>18</v>
      </c>
      <c r="I43" s="5"/>
      <c r="J43" s="3"/>
      <c r="K43" s="6"/>
      <c r="L43" s="3"/>
      <c r="M43" s="5"/>
    </row>
    <row r="44" customFormat="false" ht="49.5" hidden="false" customHeight="true" outlineLevel="0" collapsed="false">
      <c r="A44" s="3" t="s">
        <v>194</v>
      </c>
      <c r="B44" s="4" t="s">
        <v>186</v>
      </c>
      <c r="C44" s="5" t="s">
        <v>195</v>
      </c>
      <c r="D44" s="5" t="s">
        <v>196</v>
      </c>
      <c r="E44" s="5" t="s">
        <v>197</v>
      </c>
      <c r="F44" s="5"/>
      <c r="G44" s="3"/>
      <c r="H44" s="3" t="s">
        <v>18</v>
      </c>
      <c r="I44" s="5"/>
      <c r="J44" s="3"/>
      <c r="K44" s="6"/>
      <c r="L44" s="3"/>
      <c r="M44" s="5"/>
    </row>
    <row r="45" customFormat="false" ht="49.5" hidden="false" customHeight="true" outlineLevel="0" collapsed="false">
      <c r="A45" s="3" t="s">
        <v>198</v>
      </c>
      <c r="B45" s="4" t="s">
        <v>186</v>
      </c>
      <c r="C45" s="5" t="s">
        <v>199</v>
      </c>
      <c r="D45" s="5" t="s">
        <v>200</v>
      </c>
      <c r="E45" s="5" t="s">
        <v>201</v>
      </c>
      <c r="F45" s="5"/>
      <c r="G45" s="3"/>
      <c r="H45" s="3" t="s">
        <v>18</v>
      </c>
      <c r="I45" s="5"/>
      <c r="J45" s="3"/>
      <c r="K45" s="6"/>
      <c r="L45" s="3"/>
      <c r="M45" s="5"/>
    </row>
    <row r="46" customFormat="false" ht="49.5" hidden="false" customHeight="true" outlineLevel="0" collapsed="false">
      <c r="A46" s="3" t="s">
        <v>202</v>
      </c>
      <c r="B46" s="4" t="s">
        <v>186</v>
      </c>
      <c r="C46" s="5" t="s">
        <v>203</v>
      </c>
      <c r="D46" s="5" t="s">
        <v>204</v>
      </c>
      <c r="E46" s="5" t="s">
        <v>205</v>
      </c>
      <c r="F46" s="5"/>
      <c r="G46" s="3"/>
      <c r="H46" s="3" t="s">
        <v>27</v>
      </c>
      <c r="I46" s="5"/>
      <c r="J46" s="3"/>
      <c r="K46" s="6"/>
      <c r="L46" s="3"/>
      <c r="M46" s="5"/>
    </row>
    <row r="47" customFormat="false" ht="49.5" hidden="false" customHeight="true" outlineLevel="0" collapsed="false">
      <c r="A47" s="3" t="s">
        <v>206</v>
      </c>
      <c r="B47" s="4" t="s">
        <v>207</v>
      </c>
      <c r="C47" s="5" t="s">
        <v>208</v>
      </c>
      <c r="D47" s="5" t="s">
        <v>209</v>
      </c>
      <c r="E47" s="5" t="s">
        <v>210</v>
      </c>
      <c r="F47" s="5"/>
      <c r="G47" s="3"/>
      <c r="H47" s="3" t="s">
        <v>27</v>
      </c>
      <c r="I47" s="5"/>
      <c r="J47" s="3"/>
      <c r="K47" s="6"/>
      <c r="L47" s="3"/>
      <c r="M47" s="5"/>
    </row>
    <row r="48" customFormat="false" ht="49.5" hidden="false" customHeight="true" outlineLevel="0" collapsed="false">
      <c r="A48" s="3" t="s">
        <v>211</v>
      </c>
      <c r="B48" s="4" t="s">
        <v>207</v>
      </c>
      <c r="C48" s="5" t="s">
        <v>212</v>
      </c>
      <c r="D48" s="5" t="s">
        <v>213</v>
      </c>
      <c r="E48" s="5" t="s">
        <v>214</v>
      </c>
      <c r="F48" s="5"/>
      <c r="G48" s="3"/>
      <c r="H48" s="3" t="s">
        <v>27</v>
      </c>
      <c r="I48" s="5"/>
      <c r="J48" s="3"/>
      <c r="K48" s="6"/>
      <c r="L48" s="3"/>
      <c r="M48" s="5"/>
    </row>
    <row r="49" customFormat="false" ht="49.5" hidden="false" customHeight="true" outlineLevel="0" collapsed="false">
      <c r="A49" s="3" t="s">
        <v>215</v>
      </c>
      <c r="B49" s="4" t="s">
        <v>207</v>
      </c>
      <c r="C49" s="5" t="s">
        <v>216</v>
      </c>
      <c r="D49" s="5" t="s">
        <v>217</v>
      </c>
      <c r="E49" s="5" t="s">
        <v>218</v>
      </c>
      <c r="F49" s="5"/>
      <c r="G49" s="3"/>
      <c r="H49" s="3" t="s">
        <v>27</v>
      </c>
      <c r="I49" s="5"/>
      <c r="J49" s="3"/>
      <c r="K49" s="6"/>
      <c r="L49" s="3"/>
      <c r="M49" s="5"/>
    </row>
    <row r="50" customFormat="false" ht="49.5" hidden="false" customHeight="true" outlineLevel="0" collapsed="false">
      <c r="A50" s="3" t="s">
        <v>219</v>
      </c>
      <c r="B50" s="4" t="s">
        <v>220</v>
      </c>
      <c r="C50" s="5" t="s">
        <v>221</v>
      </c>
      <c r="D50" s="5" t="s">
        <v>222</v>
      </c>
      <c r="E50" s="5" t="s">
        <v>223</v>
      </c>
      <c r="F50" s="5"/>
      <c r="G50" s="3"/>
      <c r="H50" s="3" t="s">
        <v>27</v>
      </c>
      <c r="I50" s="5"/>
      <c r="J50" s="3"/>
      <c r="K50" s="6"/>
      <c r="L50" s="3"/>
      <c r="M50" s="5"/>
    </row>
    <row r="51" customFormat="false" ht="49.5" hidden="false" customHeight="true" outlineLevel="0" collapsed="false">
      <c r="A51" s="3" t="s">
        <v>224</v>
      </c>
      <c r="B51" s="4" t="s">
        <v>220</v>
      </c>
      <c r="C51" s="5" t="s">
        <v>225</v>
      </c>
      <c r="D51" s="5" t="s">
        <v>226</v>
      </c>
      <c r="E51" s="5" t="s">
        <v>227</v>
      </c>
      <c r="F51" s="5"/>
      <c r="G51" s="3"/>
      <c r="H51" s="3" t="s">
        <v>18</v>
      </c>
      <c r="I51" s="5"/>
      <c r="J51" s="3"/>
      <c r="K51" s="6"/>
      <c r="L51" s="3"/>
      <c r="M51" s="5"/>
    </row>
    <row r="52" customFormat="false" ht="49.5" hidden="false" customHeight="true" outlineLevel="0" collapsed="false">
      <c r="A52" s="3" t="s">
        <v>228</v>
      </c>
      <c r="B52" s="4" t="s">
        <v>220</v>
      </c>
      <c r="C52" s="5" t="s">
        <v>229</v>
      </c>
      <c r="D52" s="5" t="s">
        <v>230</v>
      </c>
      <c r="E52" s="5" t="s">
        <v>231</v>
      </c>
      <c r="F52" s="5"/>
      <c r="G52" s="3"/>
      <c r="H52" s="3" t="s">
        <v>18</v>
      </c>
      <c r="I52" s="5"/>
      <c r="J52" s="3"/>
      <c r="K52" s="6"/>
      <c r="L52" s="3"/>
      <c r="M52" s="5"/>
    </row>
  </sheetData>
  <autoFilter ref="A1:M1"/>
  <dataValidations count="3">
    <dataValidation allowBlank="true" error="Pick a valid status" errorStyle="stop" operator="between" showDropDown="false" showErrorMessage="false" showInputMessage="false" sqref="G2:G52" type="list">
      <formula1>"Pass,Fail,Blocked,Not Tested,In Progress,Deferred"</formula1>
      <formula2>0</formula2>
    </dataValidation>
    <dataValidation allowBlank="true" errorStyle="stop" operator="between" showDropDown="false" showErrorMessage="false" showInputMessage="false" sqref="H2:H52" type="list">
      <formula1>"Critical,High,Medium,Low"</formula1>
      <formula2>0</formula2>
    </dataValidation>
    <dataValidation allowBlank="true" errorStyle="stop" operator="between" showDropDown="false" showErrorMessage="false" showInputMessage="false" sqref="J2:J52" type="list">
      <formula1>"DEV,SIT,UAT,Pre-Prod,Prod"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4" min="4" style="1" width="28"/>
    <col collapsed="false" customWidth="true" hidden="false" outlineLevel="0" max="7" min="5" style="1" width="10"/>
  </cols>
  <sheetData>
    <row r="1" customFormat="false" ht="17.35" hidden="false" customHeight="false" outlineLevel="0" collapsed="false">
      <c r="A1" s="7" t="s">
        <v>232</v>
      </c>
      <c r="B1" s="7"/>
      <c r="C1" s="7"/>
      <c r="D1" s="7"/>
    </row>
    <row r="3" customFormat="false" ht="15" hidden="false" customHeight="false" outlineLevel="0" collapsed="false">
      <c r="A3" s="4" t="s">
        <v>233</v>
      </c>
      <c r="B3" s="3" t="n">
        <f aca="false">COUNTA('UAT Checklist'!A2:A52)</f>
        <v>51</v>
      </c>
      <c r="D3" s="2" t="s">
        <v>1</v>
      </c>
      <c r="E3" s="2" t="s">
        <v>234</v>
      </c>
      <c r="F3" s="2" t="s">
        <v>235</v>
      </c>
      <c r="G3" s="2" t="s">
        <v>236</v>
      </c>
    </row>
    <row r="4" customFormat="false" ht="15" hidden="false" customHeight="false" outlineLevel="0" collapsed="false">
      <c r="A4" s="4" t="s">
        <v>235</v>
      </c>
      <c r="B4" s="3" t="n">
        <f aca="false">COUNTIF('UAT Checklist'!G2:G52,"Pass")</f>
        <v>0</v>
      </c>
      <c r="D4" s="8" t="s">
        <v>14</v>
      </c>
      <c r="E4" s="3" t="n">
        <f aca="false">COUNTIF('UAT Checklist'!B2:B52,D4)</f>
        <v>6</v>
      </c>
      <c r="F4" s="3" t="n">
        <f aca="false">COUNTIFS('UAT Checklist'!B2:B52,D4,'UAT Checklist'!G2:G52,"Pass")</f>
        <v>0</v>
      </c>
      <c r="G4" s="3" t="n">
        <f aca="false">COUNTIFS('UAT Checklist'!B2:B52,D4,'UAT Checklist'!G2:G52,"Fail")</f>
        <v>0</v>
      </c>
    </row>
    <row r="5" customFormat="false" ht="15" hidden="false" customHeight="false" outlineLevel="0" collapsed="false">
      <c r="A5" s="4" t="s">
        <v>236</v>
      </c>
      <c r="B5" s="3" t="n">
        <f aca="false">COUNTIF('UAT Checklist'!G2:G52,"Fail")</f>
        <v>0</v>
      </c>
      <c r="D5" s="8" t="s">
        <v>41</v>
      </c>
      <c r="E5" s="3" t="n">
        <f aca="false">COUNTIF('UAT Checklist'!B2:B52,D5)</f>
        <v>6</v>
      </c>
      <c r="F5" s="3" t="n">
        <f aca="false">COUNTIFS('UAT Checklist'!B2:B52,D5,'UAT Checklist'!G2:G52,"Pass")</f>
        <v>0</v>
      </c>
      <c r="G5" s="3" t="n">
        <f aca="false">COUNTIFS('UAT Checklist'!B2:B52,D5,'UAT Checklist'!G2:G52,"Fail")</f>
        <v>0</v>
      </c>
    </row>
    <row r="6" customFormat="false" ht="15" hidden="false" customHeight="false" outlineLevel="0" collapsed="false">
      <c r="A6" s="4" t="s">
        <v>237</v>
      </c>
      <c r="B6" s="3" t="n">
        <f aca="false">COUNTIF('UAT Checklist'!G2:G52,"Blocked")</f>
        <v>0</v>
      </c>
      <c r="D6" s="8" t="s">
        <v>67</v>
      </c>
      <c r="E6" s="3" t="n">
        <f aca="false">COUNTIF('UAT Checklist'!B2:B52,D6)</f>
        <v>5</v>
      </c>
      <c r="F6" s="3" t="n">
        <f aca="false">COUNTIFS('UAT Checklist'!B2:B52,D6,'UAT Checklist'!G2:G52,"Pass")</f>
        <v>0</v>
      </c>
      <c r="G6" s="3" t="n">
        <f aca="false">COUNTIFS('UAT Checklist'!B2:B52,D6,'UAT Checklist'!G2:G52,"Fail")</f>
        <v>0</v>
      </c>
    </row>
    <row r="7" customFormat="false" ht="15" hidden="false" customHeight="false" outlineLevel="0" collapsed="false">
      <c r="A7" s="4" t="s">
        <v>238</v>
      </c>
      <c r="B7" s="3" t="n">
        <f aca="false">COUNTIF('UAT Checklist'!G2:G52,"Not Tested")</f>
        <v>0</v>
      </c>
      <c r="D7" s="8" t="s">
        <v>88</v>
      </c>
      <c r="E7" s="3" t="n">
        <f aca="false">COUNTIF('UAT Checklist'!B2:B52,D7)</f>
        <v>5</v>
      </c>
      <c r="F7" s="3" t="n">
        <f aca="false">COUNTIFS('UAT Checklist'!B2:B52,D7,'UAT Checklist'!G2:G52,"Pass")</f>
        <v>0</v>
      </c>
      <c r="G7" s="3" t="n">
        <f aca="false">COUNTIFS('UAT Checklist'!B2:B52,D7,'UAT Checklist'!G2:G52,"Fail")</f>
        <v>0</v>
      </c>
    </row>
    <row r="8" customFormat="false" ht="15" hidden="false" customHeight="false" outlineLevel="0" collapsed="false">
      <c r="A8" s="4" t="s">
        <v>239</v>
      </c>
      <c r="B8" s="3" t="n">
        <f aca="false">COUNTIF('UAT Checklist'!G2:G52,"In Progress")</f>
        <v>0</v>
      </c>
      <c r="D8" s="8" t="s">
        <v>109</v>
      </c>
      <c r="E8" s="3" t="n">
        <f aca="false">COUNTIF('UAT Checklist'!B2:B52,D8)</f>
        <v>4</v>
      </c>
      <c r="F8" s="3" t="n">
        <f aca="false">COUNTIFS('UAT Checklist'!B2:B52,D8,'UAT Checklist'!G2:G52,"Pass")</f>
        <v>0</v>
      </c>
      <c r="G8" s="3" t="n">
        <f aca="false">COUNTIFS('UAT Checklist'!B2:B52,D8,'UAT Checklist'!G2:G52,"Fail")</f>
        <v>0</v>
      </c>
    </row>
    <row r="9" customFormat="false" ht="15" hidden="false" customHeight="false" outlineLevel="0" collapsed="false">
      <c r="A9" s="4" t="s">
        <v>240</v>
      </c>
      <c r="B9" s="3" t="n">
        <f aca="false">COUNTIF('UAT Checklist'!G2:G52,"Deferred")</f>
        <v>0</v>
      </c>
      <c r="D9" s="8" t="s">
        <v>126</v>
      </c>
      <c r="E9" s="3" t="n">
        <f aca="false">COUNTIF('UAT Checklist'!B2:B52,D9)</f>
        <v>3</v>
      </c>
      <c r="F9" s="3" t="n">
        <f aca="false">COUNTIFS('UAT Checklist'!B2:B52,D9,'UAT Checklist'!G2:G52,"Pass")</f>
        <v>0</v>
      </c>
      <c r="G9" s="3" t="n">
        <f aca="false">COUNTIFS('UAT Checklist'!B2:B52,D9,'UAT Checklist'!G2:G52,"Fail")</f>
        <v>0</v>
      </c>
    </row>
    <row r="10" customFormat="false" ht="15" hidden="false" customHeight="false" outlineLevel="0" collapsed="false">
      <c r="A10" s="5"/>
      <c r="B10" s="9"/>
      <c r="D10" s="8" t="s">
        <v>139</v>
      </c>
      <c r="E10" s="3" t="n">
        <f aca="false">COUNTIF('UAT Checklist'!B2:B52,D10)</f>
        <v>3</v>
      </c>
      <c r="F10" s="3" t="n">
        <f aca="false">COUNTIFS('UAT Checklist'!B2:B52,D10,'UAT Checklist'!G2:G52,"Pass")</f>
        <v>0</v>
      </c>
      <c r="G10" s="3" t="n">
        <f aca="false">COUNTIFS('UAT Checklist'!B2:B52,D10,'UAT Checklist'!G2:G52,"Fail")</f>
        <v>0</v>
      </c>
    </row>
    <row r="11" customFormat="false" ht="15" hidden="false" customHeight="false" outlineLevel="0" collapsed="false">
      <c r="A11" s="4" t="s">
        <v>241</v>
      </c>
      <c r="B11" s="10" t="n">
        <f aca="false">IF(B3&gt;0,ROUND(B4/B3*100,1),0)</f>
        <v>0</v>
      </c>
      <c r="D11" s="8" t="s">
        <v>152</v>
      </c>
      <c r="E11" s="3" t="n">
        <f aca="false">COUNTIF('UAT Checklist'!B2:B52,D11)</f>
        <v>3</v>
      </c>
      <c r="F11" s="3" t="n">
        <f aca="false">COUNTIFS('UAT Checklist'!B2:B52,D11,'UAT Checklist'!G2:G52,"Pass")</f>
        <v>0</v>
      </c>
      <c r="G11" s="3" t="n">
        <f aca="false">COUNTIFS('UAT Checklist'!B2:B52,D11,'UAT Checklist'!G2:G52,"Fail")</f>
        <v>0</v>
      </c>
    </row>
    <row r="12" customFormat="false" ht="15" hidden="false" customHeight="false" outlineLevel="0" collapsed="false">
      <c r="A12" s="4" t="s">
        <v>242</v>
      </c>
      <c r="B12" s="10" t="n">
        <f aca="false">IF(B3&gt;0,ROUND((B4+B5+B6)/B3*100,1),0)</f>
        <v>0</v>
      </c>
      <c r="D12" s="8" t="s">
        <v>165</v>
      </c>
      <c r="E12" s="3" t="n">
        <f aca="false">COUNTIF('UAT Checklist'!B2:B52,D12)</f>
        <v>5</v>
      </c>
      <c r="F12" s="3" t="n">
        <f aca="false">COUNTIFS('UAT Checklist'!B2:B52,D12,'UAT Checklist'!G2:G52,"Pass")</f>
        <v>0</v>
      </c>
      <c r="G12" s="3" t="n">
        <f aca="false">COUNTIFS('UAT Checklist'!B2:B52,D12,'UAT Checklist'!G2:G52,"Fail")</f>
        <v>0</v>
      </c>
    </row>
    <row r="13" customFormat="false" ht="15" hidden="false" customHeight="false" outlineLevel="0" collapsed="false">
      <c r="D13" s="8" t="s">
        <v>186</v>
      </c>
      <c r="E13" s="3" t="n">
        <f aca="false">COUNTIF('UAT Checklist'!B2:B52,D13)</f>
        <v>5</v>
      </c>
      <c r="F13" s="3" t="n">
        <f aca="false">COUNTIFS('UAT Checklist'!B2:B52,D13,'UAT Checklist'!G2:G52,"Pass")</f>
        <v>0</v>
      </c>
      <c r="G13" s="3" t="n">
        <f aca="false">COUNTIFS('UAT Checklist'!B2:B52,D13,'UAT Checklist'!G2:G52,"Fail")</f>
        <v>0</v>
      </c>
    </row>
    <row r="14" customFormat="false" ht="15" hidden="false" customHeight="false" outlineLevel="0" collapsed="false">
      <c r="D14" s="8" t="s">
        <v>207</v>
      </c>
      <c r="E14" s="3" t="n">
        <f aca="false">COUNTIF('UAT Checklist'!B2:B52,D14)</f>
        <v>3</v>
      </c>
      <c r="F14" s="3" t="n">
        <f aca="false">COUNTIFS('UAT Checklist'!B2:B52,D14,'UAT Checklist'!G2:G52,"Pass")</f>
        <v>0</v>
      </c>
      <c r="G14" s="3" t="n">
        <f aca="false">COUNTIFS('UAT Checklist'!B2:B52,D14,'UAT Checklist'!G2:G52,"Fail")</f>
        <v>0</v>
      </c>
    </row>
    <row r="15" customFormat="false" ht="15" hidden="false" customHeight="false" outlineLevel="0" collapsed="false">
      <c r="D15" s="8" t="s">
        <v>220</v>
      </c>
      <c r="E15" s="3" t="n">
        <f aca="false">COUNTIF('UAT Checklist'!B2:B52,D15)</f>
        <v>3</v>
      </c>
      <c r="F15" s="3" t="n">
        <f aca="false">COUNTIFS('UAT Checklist'!B2:B52,D15,'UAT Checklist'!G2:G52,"Pass")</f>
        <v>0</v>
      </c>
      <c r="G15" s="3" t="n">
        <f aca="false">COUNTIFS('UAT Checklist'!B2:B52,D15,'UAT Checklist'!G2:G52,"Fail")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35" hidden="false" customHeight="false" outlineLevel="0" collapsed="false">
      <c r="A1" s="11" t="s">
        <v>243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244</v>
      </c>
    </row>
    <row r="4" customFormat="false" ht="15" hidden="false" customHeight="false" outlineLevel="0" collapsed="false">
      <c r="A4" s="12" t="s">
        <v>245</v>
      </c>
    </row>
    <row r="5" customFormat="false" ht="15" hidden="false" customHeight="false" outlineLevel="0" collapsed="false">
      <c r="A5" s="12" t="s">
        <v>246</v>
      </c>
    </row>
    <row r="6" customFormat="false" ht="15" hidden="false" customHeight="false" outlineLevel="0" collapsed="false">
      <c r="A6" s="12" t="s">
        <v>247</v>
      </c>
    </row>
    <row r="7" customFormat="false" ht="15" hidden="false" customHeight="false" outlineLevel="0" collapsed="false">
      <c r="A7" s="12" t="s">
        <v>248</v>
      </c>
    </row>
    <row r="8" customFormat="false" ht="15" hidden="false" customHeight="false" outlineLevel="0" collapsed="false">
      <c r="A8" s="12" t="s">
        <v>249</v>
      </c>
    </row>
    <row r="9" customFormat="false" ht="15" hidden="false" customHeight="false" outlineLevel="0" collapsed="false">
      <c r="A9" s="12" t="s">
        <v>250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3" t="s">
        <v>251</v>
      </c>
    </row>
    <row r="12" customFormat="false" ht="15" hidden="false" customHeight="false" outlineLevel="0" collapsed="false">
      <c r="A12" s="12" t="s">
        <v>252</v>
      </c>
    </row>
    <row r="13" customFormat="false" ht="15" hidden="false" customHeight="false" outlineLevel="0" collapsed="false">
      <c r="A13" s="12" t="s">
        <v>253</v>
      </c>
    </row>
    <row r="14" customFormat="false" ht="15" hidden="false" customHeight="false" outlineLevel="0" collapsed="false">
      <c r="A14" s="12" t="s">
        <v>254</v>
      </c>
    </row>
    <row r="15" customFormat="false" ht="15" hidden="false" customHeight="false" outlineLevel="0" collapsed="false">
      <c r="A15" s="12" t="s">
        <v>255</v>
      </c>
    </row>
    <row r="16" customFormat="false" ht="15" hidden="false" customHeight="false" outlineLevel="0" collapsed="false">
      <c r="A16" s="12" t="s">
        <v>256</v>
      </c>
    </row>
    <row r="17" customFormat="false" ht="15" hidden="false" customHeight="false" outlineLevel="0" collapsed="false">
      <c r="A17" s="12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2026-03-06T11:20:28Z</dcterms:created>
  <dc:creator>openpyxl</dc:creator>
  <dc:description/>
  <dc:language>en-US</dc:language>
  <cp:lastModifiedBy/>
  <dcterms:modified xsi:type="dcterms:W3CDTF">2026-03-09T12:58:47Z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